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23883683F77B812D/Documents/"/>
    </mc:Choice>
  </mc:AlternateContent>
  <xr:revisionPtr revIDLastSave="0" documentId="8_{07D2AC66-4953-4800-965E-71FA8015EDD9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Risk Register" sheetId="6" r:id="rId1"/>
    <sheet name="Dropdown Keys – DO NOT DELETE –" sheetId="7" r:id="rId2"/>
  </sheets>
  <externalReferences>
    <externalReference r:id="rId3"/>
  </externalReferences>
  <definedNames>
    <definedName name="_xlnm.Print_Area" localSheetId="0">'Risk Register'!$B$4:$N$34</definedName>
    <definedName name="Type" localSheetId="1">'[1]Maintenance Work Order'!#REF!</definedName>
    <definedName name="Type">'[1]Maintenance Work Order'!#REF!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6" l="1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3" i="7"/>
  <c r="I3" i="7"/>
  <c r="J3" i="7"/>
  <c r="K3" i="7"/>
  <c r="L3" i="7"/>
  <c r="H4" i="7"/>
  <c r="I4" i="7"/>
  <c r="J4" i="7"/>
  <c r="K4" i="7"/>
  <c r="L4" i="7"/>
  <c r="H5" i="7"/>
  <c r="I5" i="7"/>
  <c r="J5" i="7"/>
  <c r="K5" i="7"/>
  <c r="L5" i="7"/>
  <c r="H6" i="7"/>
  <c r="I6" i="7"/>
  <c r="J6" i="7"/>
  <c r="K6" i="7"/>
  <c r="L6" i="7"/>
  <c r="H7" i="7"/>
  <c r="I7" i="7"/>
  <c r="J7" i="7"/>
  <c r="K7" i="7"/>
  <c r="L7" i="7"/>
</calcChain>
</file>

<file path=xl/sharedStrings.xml><?xml version="1.0" encoding="utf-8"?>
<sst xmlns="http://schemas.openxmlformats.org/spreadsheetml/2006/main" count="129" uniqueCount="114">
  <si>
    <t>REF ID</t>
  </si>
  <si>
    <t>RISK CATEGORY</t>
  </si>
  <si>
    <t>RISK TRIGGER</t>
  </si>
  <si>
    <t>DATE RAISED</t>
  </si>
  <si>
    <t>LIKELY TIMING OF RISK</t>
  </si>
  <si>
    <t>OWNER</t>
  </si>
  <si>
    <t>OTHER NOTES</t>
  </si>
  <si>
    <t>40 – 80 • EXTREME</t>
  </si>
  <si>
    <t>16 - SEVERE</t>
  </si>
  <si>
    <t>5 - ALMOST CERTAIN</t>
  </si>
  <si>
    <t>20 – 32 • HIGH</t>
  </si>
  <si>
    <t>8 - MAJOR</t>
  </si>
  <si>
    <t>4 - LIKELY</t>
  </si>
  <si>
    <t>10 – 16 • MEDIUM</t>
  </si>
  <si>
    <t>4 - MODERATE</t>
  </si>
  <si>
    <t>3 - POSSIBLE</t>
  </si>
  <si>
    <t>3 – 8 • LOW</t>
  </si>
  <si>
    <t>2 - MINOR</t>
  </si>
  <si>
    <t>2 - UNLIKELY</t>
  </si>
  <si>
    <t>1 – 2 • NEGLIGIBLE</t>
  </si>
  <si>
    <t>1 - INSIGNIFICANT</t>
  </si>
  <si>
    <t>1 - RARE</t>
  </si>
  <si>
    <t>IMPACT KEY</t>
  </si>
  <si>
    <t>PROBABILITY KEY</t>
  </si>
  <si>
    <t>PI SCORES | 1 – 80</t>
  </si>
  <si>
    <t>IMPACT | 1 – 16</t>
  </si>
  <si>
    <t>PROBABILITY | 1 – 5</t>
  </si>
  <si>
    <t>PROJECT RISK REGISTER – MATRIX</t>
  </si>
  <si>
    <t>PROBABILITY
1 – 5</t>
  </si>
  <si>
    <t>IMPACT
1 – 16</t>
  </si>
  <si>
    <r>
      <t xml:space="preserve">RISK SEVERITY SCORE 
</t>
    </r>
    <r>
      <rPr>
        <sz val="9"/>
        <color theme="0"/>
        <rFont val="Century Gothic"/>
        <family val="1"/>
      </rPr>
      <t>Prob  x  Impact</t>
    </r>
  </si>
  <si>
    <r>
      <t xml:space="preserve">RISK DESCRIPTION 
</t>
    </r>
    <r>
      <rPr>
        <sz val="10"/>
        <color theme="0"/>
        <rFont val="Century Gothic"/>
        <family val="1"/>
      </rPr>
      <t>(INCLUDING IF / THEN STATEMENT)</t>
    </r>
  </si>
  <si>
    <t>MITIGATION / RESPONSE PLAN</t>
  </si>
  <si>
    <t>STATUS OF MITIGATION / RESPONSE</t>
  </si>
  <si>
    <t>Category Nine</t>
  </si>
  <si>
    <t>Category Ten</t>
  </si>
  <si>
    <t xml:space="preserve">Enter Risk Category titles below to populate the Risk Register Dropdown Menu. </t>
  </si>
  <si>
    <t xml:space="preserve">Enter Risk Category titles on the 
Dropdown Key tab to populate 
the Risk Register Dropdown Menu. </t>
  </si>
  <si>
    <t>DO NOT ALTER
SCORE CELLS
Outcomes populate automatically.</t>
  </si>
  <si>
    <t>PROJECT RISK REGISTER TEMPALTE</t>
  </si>
  <si>
    <t>R001</t>
  </si>
  <si>
    <t>R002</t>
  </si>
  <si>
    <t>R003</t>
  </si>
  <si>
    <t>R004</t>
  </si>
  <si>
    <t>R005</t>
  </si>
  <si>
    <t>R006</t>
  </si>
  <si>
    <t>R007</t>
  </si>
  <si>
    <t>R008</t>
  </si>
  <si>
    <t>21/05/2026</t>
  </si>
  <si>
    <t>19/05/2026</t>
  </si>
  <si>
    <t>20/05/2026</t>
  </si>
  <si>
    <t>22/05/2026</t>
  </si>
  <si>
    <t>Website Development</t>
  </si>
  <si>
    <t>GitHub / Integration</t>
  </si>
  <si>
    <t>Navigation</t>
  </si>
  <si>
    <t>GitHub Pages</t>
  </si>
  <si>
    <t>Design / Layout</t>
  </si>
  <si>
    <t>File Management</t>
  </si>
  <si>
    <t>Testing</t>
  </si>
  <si>
    <t>Group Work</t>
  </si>
  <si>
    <t>16/05/2026</t>
  </si>
  <si>
    <t>18/05/2026</t>
  </si>
  <si>
    <t>In case the Products page is not created properly, there will be one page missing from the final site.</t>
  </si>
  <si>
    <t>In case many group members upload updates at once, there may arise GitHub merge conflicts.</t>
  </si>
  <si>
    <t>In case the page links are incorrect, users may not navigate from Home, Products, and Orders pages.</t>
  </si>
  <si>
    <t>If the GitHub Pages is not published correctly then the final website link may not work for submission.</t>
  </si>
  <si>
    <t>If the layout of the products page isn’t clear, then the users can experience difficulty viewing product details.</t>
  </si>
  <si>
    <t>If the file naming is inconsistent, then there will be problems with linking pages on GitHub pages.</t>
  </si>
  <si>
    <t>If the user testing process is not performed properly, then errors will persist after the final submission.</t>
  </si>
  <si>
    <t>If team members fail to complete the assigned pages within time limits, then the process of integration will be delayed.</t>
  </si>
  <si>
    <t>Iteration 3</t>
  </si>
  <si>
    <t>During file merge</t>
  </si>
  <si>
    <t>After upload</t>
  </si>
  <si>
    <t>Final publishing stage</t>
  </si>
  <si>
    <t>Testing stage</t>
  </si>
  <si>
    <t>After merge</t>
  </si>
  <si>
    <t>Before final handover</t>
  </si>
  <si>
    <t>End of Iteration 3</t>
  </si>
  <si>
    <t>Products page not uploaded or incomplete</t>
  </si>
  <si>
    <t>Conflict message appears in GitHub</t>
  </si>
  <si>
    <t>Navigation links do not open correct pages</t>
  </si>
  <si>
    <t>GitHub Pages shows 404 error or blank page</t>
  </si>
  <si>
    <t>Product cards appear messy or hard to read</t>
  </si>
  <si>
    <t>Links work locally but not on GitHub Pages</t>
  </si>
  <si>
    <t>Broken links or layout problems are found late</t>
  </si>
  <si>
    <t>Missing files or incomplete tasks</t>
  </si>
  <si>
    <t>Complete the Products page as soon as possible, verify its structure, and have the other team members look at it before merging.</t>
  </si>
  <si>
    <t>Talk to each other before committing changes, fetch the latest version first, and sort out any problems as a team.</t>
  </si>
  <si>
    <t>Test the navigation links after uploading all the files and rename files or correct links if necessary.</t>
  </si>
  <si>
    <t>Review GitHub Pages configuration, ensure the right branch is chosen, and validate the active link through the browser.</t>
  </si>
  <si>
    <t>Utilize an uncomplicated design with distinct product sections, titles, buttons, and even spacing.</t>
  </si>
  <si>
    <t>Employ consistent file naming conventions like Home.html, Products.html, and Orders.html, and utilize the same names for all your links.</t>
  </si>
  <si>
    <t>Undertake manual user acceptance testing and document test results, outcomes, and any action taken.</t>
  </si>
  <si>
    <t>Manage progress on the GitHub board, share updates during meetings, and alert team members to deadlines.</t>
  </si>
  <si>
    <t>Products page is being completed and reviewed.</t>
  </si>
  <si>
    <t>Nitin, CEO / project sponsor</t>
  </si>
  <si>
    <t>The group will review the documents before merging.</t>
  </si>
  <si>
    <t>The navigation links will be reviewed.</t>
  </si>
  <si>
    <t>GitHub pages will be reviewed.</t>
  </si>
  <si>
    <t>Layouts will remain simple and straightforward.</t>
  </si>
  <si>
    <t>File names will be reviewed.</t>
  </si>
  <si>
    <t>User testing will be carried out.</t>
  </si>
  <si>
    <t>Group work will be monitored.</t>
  </si>
  <si>
    <t>Mathias, developer</t>
  </si>
  <si>
    <t>Olivia Cherry, UX designer</t>
  </si>
  <si>
    <t>MD Ilful Hossain, project manager</t>
  </si>
  <si>
    <t>Watch for GitHub merge conflicts.</t>
  </si>
  <si>
    <t>Check Home, Products, and Orders links.</t>
  </si>
  <si>
    <t>Test the live website link.</t>
  </si>
  <si>
    <t>Check spacing and readability.</t>
  </si>
  <si>
    <t>Names must match exactly.</t>
  </si>
  <si>
    <t>Record test results and fixes.</t>
  </si>
  <si>
    <t>Track tasks before deadline.</t>
  </si>
  <si>
    <t>Assigned to Iteration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</si>
</sst>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entury Gothic"/>
      <family val="1"/>
    </font>
    <font>
      <b/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theme="0"/>
      <name val="Century Gothic"/>
      <family val="2"/>
    </font>
    <font>
      <b/>
      <sz val="11"/>
      <color theme="1"/>
      <name val="Century Gothic"/>
      <family val="1"/>
    </font>
    <font>
      <b/>
      <sz val="10"/>
      <color theme="0"/>
      <name val="Century Gothic"/>
      <family val="2"/>
    </font>
    <font>
      <sz val="10"/>
      <color theme="1"/>
      <name val="Calibri"/>
      <family val="2"/>
      <scheme val="minor"/>
    </font>
    <font>
      <b/>
      <sz val="24"/>
      <color theme="1" tint="0.34998626667073579"/>
      <name val="Century Gothic"/>
      <family val="1"/>
    </font>
    <font>
      <sz val="11"/>
      <color theme="1"/>
      <name val="Century Gothic"/>
      <family val="1"/>
    </font>
    <font>
      <sz val="12"/>
      <color theme="1"/>
      <name val="Century Gothic"/>
      <family val="1"/>
    </font>
    <font>
      <sz val="9"/>
      <color theme="0"/>
      <name val="Century Gothic"/>
      <family val="1"/>
    </font>
    <font>
      <sz val="10"/>
      <color theme="0"/>
      <name val="Century Gothic"/>
      <family val="1"/>
    </font>
    <font>
      <sz val="13"/>
      <color theme="1"/>
      <name val="Century Gothic"/>
      <family val="1"/>
    </font>
    <font>
      <b/>
      <sz val="13"/>
      <color theme="1"/>
      <name val="Century Gothic"/>
      <family val="1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4AB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B0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C2C8D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5ED4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AE6D5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9F6FD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0" fontId="1" fillId="0" borderId="0" xfId="0" applyFont="1" applyAlignment="1">
      <alignment horizontal="left" wrapText="1" inden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 indent="2"/>
    </xf>
    <xf numFmtId="0" fontId="9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 indent="1"/>
    </xf>
    <xf numFmtId="0" fontId="2" fillId="6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 indent="1"/>
    </xf>
    <xf numFmtId="0" fontId="2" fillId="11" borderId="1" xfId="0" applyFont="1" applyFill="1" applyBorder="1" applyAlignment="1">
      <alignment horizontal="left" vertical="center" wrapText="1" indent="1"/>
    </xf>
    <xf numFmtId="0" fontId="2" fillId="12" borderId="1" xfId="0" applyFont="1" applyFill="1" applyBorder="1" applyAlignment="1">
      <alignment horizontal="left" vertical="center" wrapText="1" inden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 indent="1"/>
    </xf>
    <xf numFmtId="0" fontId="2" fillId="14" borderId="1" xfId="0" applyFont="1" applyFill="1" applyBorder="1" applyAlignment="1">
      <alignment horizontal="left" vertical="center" wrapText="1" indent="1"/>
    </xf>
    <xf numFmtId="0" fontId="2" fillId="15" borderId="1" xfId="0" applyFont="1" applyFill="1" applyBorder="1" applyAlignment="1">
      <alignment horizontal="left" vertical="center" wrapText="1" inden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 indent="1"/>
    </xf>
    <xf numFmtId="0" fontId="2" fillId="16" borderId="1" xfId="0" applyFont="1" applyFill="1" applyBorder="1" applyAlignment="1">
      <alignment horizontal="left" vertical="center" wrapText="1" indent="1"/>
    </xf>
    <xf numFmtId="0" fontId="2" fillId="17" borderId="1" xfId="0" applyFont="1" applyFill="1" applyBorder="1" applyAlignment="1">
      <alignment horizontal="left" vertical="center" wrapText="1" indent="1"/>
    </xf>
    <xf numFmtId="0" fontId="5" fillId="1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 indent="1"/>
    </xf>
    <xf numFmtId="0" fontId="2" fillId="19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0" fillId="20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center"/>
    </xf>
    <xf numFmtId="0" fontId="10" fillId="20" borderId="2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12" fillId="5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 indent="1"/>
    </xf>
    <xf numFmtId="0" fontId="16" fillId="21" borderId="2" xfId="0" applyFont="1" applyFill="1" applyBorder="1" applyAlignment="1">
      <alignment horizontal="left" vertical="center" wrapText="1" indent="1"/>
    </xf>
    <xf numFmtId="0" fontId="16" fillId="21" borderId="3" xfId="0" applyFont="1" applyFill="1" applyBorder="1" applyAlignment="1">
      <alignment horizontal="left" vertical="center" wrapText="1" indent="1"/>
    </xf>
    <xf numFmtId="1" fontId="2" fillId="16" borderId="1" xfId="0" applyNumberFormat="1" applyFont="1" applyFill="1" applyBorder="1" applyAlignment="1">
      <alignment horizontal="center" vertical="center" wrapText="1"/>
    </xf>
    <xf numFmtId="164" fontId="2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3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14" fillId="0" borderId="6" xfId="0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A9DF3BC1-9742-6741-902A-E2056DAAB984}"/>
  </cellStyles>
  <dxfs count="15">
    <dxf>
      <font>
        <color auto="1"/>
      </font>
      <fill>
        <patternFill>
          <bgColor rgb="FF4FE3CF"/>
        </patternFill>
      </fill>
    </dxf>
    <dxf>
      <font>
        <color auto="1"/>
      </font>
      <fill>
        <patternFill>
          <bgColor rgb="FFB5ED46"/>
        </patternFill>
      </fill>
    </dxf>
    <dxf>
      <font>
        <color auto="1"/>
      </font>
      <fill>
        <patternFill patternType="solid">
          <bgColor rgb="FFFFD700"/>
        </patternFill>
      </fill>
    </dxf>
    <dxf>
      <font>
        <color auto="1"/>
      </font>
      <fill>
        <patternFill>
          <bgColor rgb="FFFFA1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7F9FA"/>
        </patternFill>
      </fill>
    </dxf>
    <dxf>
      <font>
        <color auto="1"/>
      </font>
      <fill>
        <patternFill>
          <bgColor rgb="FFE7EBF2"/>
        </patternFill>
      </fill>
    </dxf>
    <dxf>
      <font>
        <color auto="1"/>
      </font>
      <numFmt numFmtId="0" formatCode="General"/>
      <fill>
        <patternFill>
          <bgColor rgb="FFD1D7E1"/>
        </patternFill>
      </fill>
    </dxf>
    <dxf>
      <font>
        <color auto="1"/>
      </font>
      <fill>
        <patternFill>
          <bgColor rgb="FFBAC1CA"/>
        </patternFill>
      </fill>
    </dxf>
    <dxf>
      <font>
        <color auto="1"/>
      </font>
      <fill>
        <patternFill>
          <bgColor rgb="FFA2B1C3"/>
        </patternFill>
      </fill>
    </dxf>
    <dxf>
      <font>
        <color auto="1"/>
      </font>
      <fill>
        <patternFill>
          <bgColor rgb="FFFFF1C5"/>
        </patternFill>
      </fill>
    </dxf>
    <dxf>
      <font>
        <color auto="1"/>
      </font>
      <fill>
        <patternFill>
          <bgColor rgb="FFFFE38E"/>
        </patternFill>
      </fill>
    </dxf>
    <dxf>
      <font>
        <color auto="1"/>
      </font>
      <numFmt numFmtId="0" formatCode="General"/>
      <fill>
        <patternFill>
          <bgColor rgb="FFFFD45B"/>
        </patternFill>
      </fill>
    </dxf>
    <dxf>
      <font>
        <color auto="1"/>
      </font>
      <fill>
        <patternFill>
          <bgColor rgb="FFFFB800"/>
        </patternFill>
      </fill>
    </dxf>
    <dxf>
      <font>
        <color auto="1"/>
      </font>
      <fill>
        <patternFill>
          <bgColor rgb="FFE0A100"/>
        </patternFill>
      </fill>
    </dxf>
  </dxfs>
  <tableStyles count="0" defaultTableStyle="TableStyleMedium9" defaultPivotStyle="PivotStyleMedium7"/>
  <colors>
    <mruColors>
      <color rgb="FFE9F6FD"/>
      <color rgb="FFEAEEF3"/>
      <color rgb="FFF7F9FB"/>
      <color rgb="FFF9F9F9"/>
      <color rgb="FFE1E7EF"/>
      <color rgb="FF00BD32"/>
      <color rgb="FF6E7E93"/>
      <color rgb="FF94AAC6"/>
      <color rgb="FFD0D6DE"/>
      <color rgb="FFFAE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764540</xdr:colOff>
      <xdr:row>1</xdr:row>
      <xdr:rowOff>1692793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A8D3C6-5706-9E41-867A-B9067DCBE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3060700"/>
          <a:ext cx="7772400" cy="16927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381000</xdr:rowOff>
    </xdr:from>
    <xdr:to>
      <xdr:col>11</xdr:col>
      <xdr:colOff>812800</xdr:colOff>
      <xdr:row>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AAE2A5-B515-7F44-9AE2-41416E1D9F17}"/>
            </a:ext>
          </a:extLst>
        </xdr:cNvPr>
        <xdr:cNvSpPr txBox="1"/>
      </xdr:nvSpPr>
      <xdr:spPr>
        <a:xfrm>
          <a:off x="5803900" y="203200"/>
          <a:ext cx="4089400" cy="114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Century Gothic" panose="020B0502020202020204" pitchFamily="34" charset="0"/>
            </a:rPr>
            <a:t>PROBABILITY</a:t>
          </a:r>
        </a:p>
      </xdr:txBody>
    </xdr:sp>
    <xdr:clientData/>
  </xdr:twoCellAnchor>
  <xdr:twoCellAnchor>
    <xdr:from>
      <xdr:col>5</xdr:col>
      <xdr:colOff>88900</xdr:colOff>
      <xdr:row>2</xdr:row>
      <xdr:rowOff>0</xdr:rowOff>
    </xdr:from>
    <xdr:to>
      <xdr:col>6</xdr:col>
      <xdr:colOff>25400</xdr:colOff>
      <xdr:row>6</xdr:row>
      <xdr:rowOff>304800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8D54AF-5B9A-834D-9166-AFB650638F50}"/>
            </a:ext>
          </a:extLst>
        </xdr:cNvPr>
        <xdr:cNvSpPr txBox="1"/>
      </xdr:nvSpPr>
      <xdr:spPr>
        <a:xfrm rot="16200000">
          <a:off x="4089400" y="533400"/>
          <a:ext cx="101600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Century Gothic" panose="020B0502020202020204" pitchFamily="34" charset="0"/>
            </a:rPr>
            <a:t>IMPACT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D70D-599F-46FA-ACC4-898E54A7CA0A}">
  <sheetPr>
    <tabColor theme="3" tint="0.79998168889431442"/>
    <pageSetUpPr fitToPage="1"/>
  </sheetPr>
  <dimension ref="A1:IW43"/>
  <sheetViews>
    <sheetView showGridLines="0" tabSelected="1" topLeftCell="C3" zoomScaleNormal="100" workbookViewId="0">
      <selection activeCell="D8" sqref="D8"/>
    </sheetView>
  </sheetViews>
  <sheetFormatPr defaultColWidth="11" defaultRowHeight="15.6" x14ac:dyDescent="0.3"/>
  <cols>
    <col min="1" max="1" width="3.3984375" customWidth="1"/>
    <col min="2" max="2" width="10.8984375" style="1" customWidth="1"/>
    <col min="3" max="3" width="10.8984375" style="5" customWidth="1"/>
    <col min="4" max="4" width="19.69921875" style="1" bestFit="1" customWidth="1"/>
    <col min="5" max="5" width="37.8984375" style="1" bestFit="1" customWidth="1"/>
    <col min="6" max="6" width="12.8984375" style="5" customWidth="1"/>
    <col min="7" max="7" width="12.8984375" style="1" customWidth="1"/>
    <col min="8" max="8" width="13.8984375" style="1" customWidth="1"/>
    <col min="9" max="9" width="15.296875" style="1" bestFit="1" customWidth="1"/>
    <col min="10" max="10" width="16.796875" style="1" bestFit="1" customWidth="1"/>
    <col min="11" max="11" width="42.19921875" style="1" bestFit="1" customWidth="1"/>
    <col min="12" max="12" width="19.69921875" style="1" bestFit="1" customWidth="1"/>
    <col min="13" max="13" width="17.296875" style="1" bestFit="1" customWidth="1"/>
    <col min="14" max="14" width="20.59765625" style="1" bestFit="1" customWidth="1"/>
    <col min="15" max="15" width="3.3984375" customWidth="1"/>
  </cols>
  <sheetData>
    <row r="1" spans="1:257" s="45" customFormat="1" ht="42" customHeight="1" x14ac:dyDescent="0.3">
      <c r="A1" s="46"/>
      <c r="B1" s="47" t="s">
        <v>39</v>
      </c>
      <c r="C1"/>
      <c r="D1"/>
      <c r="E1"/>
      <c r="F1"/>
      <c r="G1"/>
      <c r="H1"/>
      <c r="I1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46"/>
    </row>
    <row r="2" spans="1:257" ht="138.9" customHeight="1" x14ac:dyDescent="0.3">
      <c r="C2" s="1"/>
      <c r="F2" s="1"/>
      <c r="K2"/>
      <c r="L2"/>
      <c r="M2"/>
      <c r="N2"/>
    </row>
    <row r="3" spans="1:257" ht="78.900000000000006" customHeight="1" thickBot="1" x14ac:dyDescent="0.35">
      <c r="B3" s="62"/>
      <c r="C3"/>
      <c r="D3" s="63" t="s">
        <v>37</v>
      </c>
      <c r="E3" s="63"/>
      <c r="F3"/>
      <c r="G3"/>
      <c r="H3" s="61" t="s">
        <v>38</v>
      </c>
      <c r="I3"/>
      <c r="J3"/>
      <c r="K3"/>
      <c r="L3"/>
      <c r="M3"/>
      <c r="N3"/>
    </row>
    <row r="4" spans="1:257" s="4" customFormat="1" ht="54.9" customHeight="1" x14ac:dyDescent="0.25">
      <c r="A4" s="3"/>
      <c r="B4" s="48" t="s">
        <v>0</v>
      </c>
      <c r="C4" s="48" t="s">
        <v>3</v>
      </c>
      <c r="D4" s="49" t="s">
        <v>1</v>
      </c>
      <c r="E4" s="49" t="s">
        <v>31</v>
      </c>
      <c r="F4" s="50" t="s">
        <v>28</v>
      </c>
      <c r="G4" s="51" t="s">
        <v>29</v>
      </c>
      <c r="H4" s="50" t="s">
        <v>30</v>
      </c>
      <c r="I4" s="49" t="s">
        <v>4</v>
      </c>
      <c r="J4" s="49" t="s">
        <v>2</v>
      </c>
      <c r="K4" s="49" t="s">
        <v>32</v>
      </c>
      <c r="L4" s="49" t="s">
        <v>33</v>
      </c>
      <c r="M4" s="49" t="s">
        <v>5</v>
      </c>
      <c r="N4" s="49" t="s">
        <v>6</v>
      </c>
      <c r="O4" s="3"/>
    </row>
    <row r="5" spans="1:257" ht="50.1" customHeight="1" x14ac:dyDescent="0.3">
      <c r="B5" s="52" t="s">
        <v>40</v>
      </c>
      <c r="C5" s="53" t="s">
        <v>60</v>
      </c>
      <c r="D5" s="64" t="s">
        <v>52</v>
      </c>
      <c r="E5" s="60" t="s">
        <v>62</v>
      </c>
      <c r="F5" s="55">
        <v>3</v>
      </c>
      <c r="G5" s="56">
        <v>8</v>
      </c>
      <c r="H5" s="57">
        <f>F5*G5</f>
        <v>24</v>
      </c>
      <c r="I5" s="60" t="s">
        <v>70</v>
      </c>
      <c r="J5" s="60" t="s">
        <v>78</v>
      </c>
      <c r="K5" s="60" t="s">
        <v>86</v>
      </c>
      <c r="L5" s="60" t="s">
        <v>94</v>
      </c>
      <c r="M5" s="6" t="s">
        <v>95</v>
      </c>
      <c r="N5" s="58" t="s">
        <v>113</v>
      </c>
    </row>
    <row r="6" spans="1:257" ht="50.1" customHeight="1" x14ac:dyDescent="0.3">
      <c r="B6" s="52" t="s">
        <v>41</v>
      </c>
      <c r="C6" s="53" t="s">
        <v>61</v>
      </c>
      <c r="D6" s="64" t="s">
        <v>53</v>
      </c>
      <c r="E6" s="60" t="s">
        <v>63</v>
      </c>
      <c r="F6" s="55">
        <v>3</v>
      </c>
      <c r="G6" s="56">
        <v>8</v>
      </c>
      <c r="H6" s="57">
        <f t="shared" ref="H5:H13" si="0">F6*G6</f>
        <v>24</v>
      </c>
      <c r="I6" s="60" t="s">
        <v>71</v>
      </c>
      <c r="J6" s="60" t="s">
        <v>79</v>
      </c>
      <c r="K6" s="60" t="s">
        <v>87</v>
      </c>
      <c r="L6" s="60" t="s">
        <v>96</v>
      </c>
      <c r="M6" s="6" t="s">
        <v>103</v>
      </c>
      <c r="N6" s="58" t="s">
        <v>106</v>
      </c>
    </row>
    <row r="7" spans="1:257" ht="50.1" customHeight="1" x14ac:dyDescent="0.3">
      <c r="B7" s="52" t="s">
        <v>42</v>
      </c>
      <c r="C7" s="53" t="s">
        <v>49</v>
      </c>
      <c r="D7" s="64" t="s">
        <v>54</v>
      </c>
      <c r="E7" s="60" t="s">
        <v>64</v>
      </c>
      <c r="F7" s="55">
        <v>3</v>
      </c>
      <c r="G7" s="56">
        <v>4</v>
      </c>
      <c r="H7" s="57">
        <f t="shared" si="0"/>
        <v>12</v>
      </c>
      <c r="I7" s="60" t="s">
        <v>72</v>
      </c>
      <c r="J7" s="60" t="s">
        <v>80</v>
      </c>
      <c r="K7" s="60" t="s">
        <v>88</v>
      </c>
      <c r="L7" s="60" t="s">
        <v>97</v>
      </c>
      <c r="M7" s="6" t="s">
        <v>103</v>
      </c>
      <c r="N7" s="58" t="s">
        <v>107</v>
      </c>
    </row>
    <row r="8" spans="1:257" ht="50.1" customHeight="1" x14ac:dyDescent="0.3">
      <c r="B8" s="52" t="s">
        <v>43</v>
      </c>
      <c r="C8" s="53" t="s">
        <v>49</v>
      </c>
      <c r="D8" s="64" t="s">
        <v>55</v>
      </c>
      <c r="E8" s="60" t="s">
        <v>65</v>
      </c>
      <c r="F8" s="55">
        <v>1</v>
      </c>
      <c r="G8" s="56">
        <v>8</v>
      </c>
      <c r="H8" s="57">
        <f t="shared" si="0"/>
        <v>8</v>
      </c>
      <c r="I8" s="60" t="s">
        <v>73</v>
      </c>
      <c r="J8" s="60" t="s">
        <v>81</v>
      </c>
      <c r="K8" s="60" t="s">
        <v>89</v>
      </c>
      <c r="L8" s="60" t="s">
        <v>98</v>
      </c>
      <c r="M8" s="6" t="s">
        <v>103</v>
      </c>
      <c r="N8" s="58" t="s">
        <v>108</v>
      </c>
    </row>
    <row r="9" spans="1:257" ht="50.1" customHeight="1" x14ac:dyDescent="0.3">
      <c r="B9" s="52" t="s">
        <v>44</v>
      </c>
      <c r="C9" s="53" t="s">
        <v>50</v>
      </c>
      <c r="D9" s="64" t="s">
        <v>56</v>
      </c>
      <c r="E9" s="60" t="s">
        <v>66</v>
      </c>
      <c r="F9" s="55">
        <v>3</v>
      </c>
      <c r="G9" s="56">
        <v>4</v>
      </c>
      <c r="H9" s="57">
        <f t="shared" si="0"/>
        <v>12</v>
      </c>
      <c r="I9" s="60" t="s">
        <v>74</v>
      </c>
      <c r="J9" s="60" t="s">
        <v>82</v>
      </c>
      <c r="K9" s="60" t="s">
        <v>90</v>
      </c>
      <c r="L9" s="60" t="s">
        <v>99</v>
      </c>
      <c r="M9" s="6" t="s">
        <v>104</v>
      </c>
      <c r="N9" s="58" t="s">
        <v>109</v>
      </c>
    </row>
    <row r="10" spans="1:257" ht="50.1" customHeight="1" x14ac:dyDescent="0.3">
      <c r="B10" s="52" t="s">
        <v>45</v>
      </c>
      <c r="C10" s="53" t="s">
        <v>48</v>
      </c>
      <c r="D10" s="64" t="s">
        <v>57</v>
      </c>
      <c r="E10" s="60" t="s">
        <v>67</v>
      </c>
      <c r="F10" s="55">
        <v>3</v>
      </c>
      <c r="G10" s="56">
        <v>4</v>
      </c>
      <c r="H10" s="57">
        <f t="shared" si="0"/>
        <v>12</v>
      </c>
      <c r="I10" s="60" t="s">
        <v>75</v>
      </c>
      <c r="J10" s="60" t="s">
        <v>83</v>
      </c>
      <c r="K10" s="60" t="s">
        <v>91</v>
      </c>
      <c r="L10" s="60" t="s">
        <v>100</v>
      </c>
      <c r="M10" s="6" t="s">
        <v>103</v>
      </c>
      <c r="N10" s="58" t="s">
        <v>110</v>
      </c>
    </row>
    <row r="11" spans="1:257" ht="50.1" customHeight="1" x14ac:dyDescent="0.3">
      <c r="B11" s="52" t="s">
        <v>46</v>
      </c>
      <c r="C11" s="53" t="s">
        <v>51</v>
      </c>
      <c r="D11" s="64" t="s">
        <v>58</v>
      </c>
      <c r="E11" s="60" t="s">
        <v>68</v>
      </c>
      <c r="F11" s="55">
        <v>3</v>
      </c>
      <c r="G11" s="56">
        <v>8</v>
      </c>
      <c r="H11" s="57">
        <f t="shared" si="0"/>
        <v>24</v>
      </c>
      <c r="I11" s="60" t="s">
        <v>76</v>
      </c>
      <c r="J11" s="60" t="s">
        <v>84</v>
      </c>
      <c r="K11" s="60" t="s">
        <v>92</v>
      </c>
      <c r="L11" s="60" t="s">
        <v>101</v>
      </c>
      <c r="M11" s="6" t="s">
        <v>103</v>
      </c>
      <c r="N11" s="58" t="s">
        <v>111</v>
      </c>
    </row>
    <row r="12" spans="1:257" ht="50.1" customHeight="1" x14ac:dyDescent="0.3">
      <c r="B12" s="52" t="s">
        <v>47</v>
      </c>
      <c r="C12" s="53" t="s">
        <v>51</v>
      </c>
      <c r="D12" s="64" t="s">
        <v>59</v>
      </c>
      <c r="E12" s="60" t="s">
        <v>69</v>
      </c>
      <c r="F12" s="55">
        <v>3</v>
      </c>
      <c r="G12" s="56">
        <v>8</v>
      </c>
      <c r="H12" s="57">
        <f t="shared" si="0"/>
        <v>24</v>
      </c>
      <c r="I12" s="60" t="s">
        <v>77</v>
      </c>
      <c r="J12" s="60" t="s">
        <v>85</v>
      </c>
      <c r="K12" s="60" t="s">
        <v>93</v>
      </c>
      <c r="L12" s="60" t="s">
        <v>102</v>
      </c>
      <c r="M12" s="6" t="s">
        <v>105</v>
      </c>
      <c r="N12" s="58" t="s">
        <v>112</v>
      </c>
    </row>
    <row r="13" spans="1:257" ht="50.1" customHeight="1" x14ac:dyDescent="0.3">
      <c r="B13" s="54"/>
      <c r="C13" s="53"/>
      <c r="D13" s="38"/>
      <c r="E13" s="60"/>
      <c r="F13" s="55"/>
      <c r="G13" s="56"/>
      <c r="H13" s="57">
        <f t="shared" si="0"/>
        <v>0</v>
      </c>
      <c r="I13" s="60"/>
      <c r="J13" s="60"/>
      <c r="K13" s="60"/>
      <c r="L13" s="60"/>
      <c r="M13" s="6"/>
      <c r="N13" s="58"/>
    </row>
    <row r="14" spans="1:257" ht="50.1" customHeight="1" x14ac:dyDescent="0.3">
      <c r="B14" s="54"/>
      <c r="C14" s="53"/>
      <c r="D14" s="38"/>
      <c r="E14" s="60"/>
      <c r="F14" s="55"/>
      <c r="G14" s="56"/>
      <c r="H14" s="57">
        <f t="shared" ref="H14:H31" si="1">F14*G14</f>
        <v>0</v>
      </c>
      <c r="I14" s="60"/>
      <c r="J14" s="60"/>
      <c r="K14" s="60"/>
      <c r="L14" s="60"/>
      <c r="M14" s="6"/>
      <c r="N14" s="58"/>
    </row>
    <row r="15" spans="1:257" ht="50.1" customHeight="1" x14ac:dyDescent="0.3">
      <c r="B15" s="54"/>
      <c r="C15" s="53"/>
      <c r="D15" s="38"/>
      <c r="E15" s="60"/>
      <c r="F15" s="55"/>
      <c r="G15" s="56"/>
      <c r="H15" s="57">
        <f t="shared" si="1"/>
        <v>0</v>
      </c>
      <c r="I15" s="60"/>
      <c r="J15" s="60"/>
      <c r="K15" s="60"/>
      <c r="L15" s="60"/>
      <c r="M15" s="6"/>
      <c r="N15" s="58"/>
    </row>
    <row r="16" spans="1:257" ht="50.1" customHeight="1" x14ac:dyDescent="0.3">
      <c r="B16" s="54"/>
      <c r="C16" s="53"/>
      <c r="D16" s="38"/>
      <c r="E16" s="60"/>
      <c r="F16" s="55"/>
      <c r="G16" s="56"/>
      <c r="H16" s="57">
        <f t="shared" si="1"/>
        <v>0</v>
      </c>
      <c r="I16" s="60"/>
      <c r="J16" s="60"/>
      <c r="K16" s="60"/>
      <c r="L16" s="60"/>
      <c r="M16" s="6"/>
      <c r="N16" s="58"/>
    </row>
    <row r="17" spans="2:14" ht="50.1" customHeight="1" x14ac:dyDescent="0.3">
      <c r="B17" s="54"/>
      <c r="C17" s="53"/>
      <c r="D17" s="38"/>
      <c r="E17" s="60"/>
      <c r="F17" s="55"/>
      <c r="G17" s="56"/>
      <c r="H17" s="57">
        <f t="shared" si="1"/>
        <v>0</v>
      </c>
      <c r="I17" s="60"/>
      <c r="J17" s="60"/>
      <c r="K17" s="60"/>
      <c r="L17" s="60"/>
      <c r="M17" s="6"/>
      <c r="N17" s="58"/>
    </row>
    <row r="18" spans="2:14" ht="50.1" customHeight="1" x14ac:dyDescent="0.3">
      <c r="B18" s="54"/>
      <c r="C18" s="53"/>
      <c r="D18" s="38"/>
      <c r="E18" s="60"/>
      <c r="F18" s="55"/>
      <c r="G18" s="56"/>
      <c r="H18" s="57">
        <f t="shared" si="1"/>
        <v>0</v>
      </c>
      <c r="I18" s="60"/>
      <c r="J18" s="60"/>
      <c r="K18" s="60"/>
      <c r="L18" s="60"/>
      <c r="M18" s="6"/>
      <c r="N18" s="58"/>
    </row>
    <row r="19" spans="2:14" ht="50.1" customHeight="1" x14ac:dyDescent="0.3">
      <c r="B19" s="54"/>
      <c r="C19" s="53"/>
      <c r="D19" s="38"/>
      <c r="E19" s="60"/>
      <c r="F19" s="55"/>
      <c r="G19" s="56"/>
      <c r="H19" s="57">
        <f t="shared" si="1"/>
        <v>0</v>
      </c>
      <c r="I19" s="60"/>
      <c r="J19" s="60"/>
      <c r="K19" s="60"/>
      <c r="L19" s="60"/>
      <c r="M19" s="6"/>
      <c r="N19" s="58"/>
    </row>
    <row r="20" spans="2:14" ht="50.1" customHeight="1" x14ac:dyDescent="0.3">
      <c r="B20" s="54"/>
      <c r="C20" s="53"/>
      <c r="D20" s="38"/>
      <c r="E20" s="60"/>
      <c r="F20" s="55"/>
      <c r="G20" s="56"/>
      <c r="H20" s="57">
        <f t="shared" si="1"/>
        <v>0</v>
      </c>
      <c r="I20" s="60"/>
      <c r="J20" s="60"/>
      <c r="K20" s="60"/>
      <c r="L20" s="60"/>
      <c r="M20" s="6"/>
      <c r="N20" s="58"/>
    </row>
    <row r="21" spans="2:14" ht="50.1" customHeight="1" x14ac:dyDescent="0.3">
      <c r="B21" s="54"/>
      <c r="C21" s="53"/>
      <c r="D21" s="38"/>
      <c r="E21" s="60"/>
      <c r="F21" s="55"/>
      <c r="G21" s="56"/>
      <c r="H21" s="57">
        <f t="shared" si="1"/>
        <v>0</v>
      </c>
      <c r="I21" s="60"/>
      <c r="J21" s="60"/>
      <c r="K21" s="60"/>
      <c r="L21" s="60"/>
      <c r="M21" s="6"/>
      <c r="N21" s="58"/>
    </row>
    <row r="22" spans="2:14" ht="50.1" customHeight="1" x14ac:dyDescent="0.3">
      <c r="B22" s="54"/>
      <c r="C22" s="53"/>
      <c r="D22" s="38"/>
      <c r="E22" s="60"/>
      <c r="F22" s="55"/>
      <c r="G22" s="56"/>
      <c r="H22" s="57">
        <f t="shared" si="1"/>
        <v>0</v>
      </c>
      <c r="I22" s="60"/>
      <c r="J22" s="60"/>
      <c r="K22" s="60"/>
      <c r="L22" s="60"/>
      <c r="M22" s="6"/>
      <c r="N22" s="58"/>
    </row>
    <row r="23" spans="2:14" ht="50.1" customHeight="1" x14ac:dyDescent="0.3">
      <c r="B23" s="54"/>
      <c r="C23" s="53"/>
      <c r="D23" s="38"/>
      <c r="E23" s="60"/>
      <c r="F23" s="55"/>
      <c r="G23" s="56"/>
      <c r="H23" s="57">
        <f t="shared" si="1"/>
        <v>0</v>
      </c>
      <c r="I23" s="60"/>
      <c r="J23" s="60"/>
      <c r="K23" s="60"/>
      <c r="L23" s="60"/>
      <c r="M23" s="6"/>
      <c r="N23" s="58"/>
    </row>
    <row r="24" spans="2:14" ht="50.1" customHeight="1" x14ac:dyDescent="0.3">
      <c r="B24" s="54"/>
      <c r="C24" s="53"/>
      <c r="D24" s="38"/>
      <c r="E24" s="60"/>
      <c r="F24" s="55"/>
      <c r="G24" s="56"/>
      <c r="H24" s="57">
        <f t="shared" si="1"/>
        <v>0</v>
      </c>
      <c r="I24" s="60"/>
      <c r="J24" s="60"/>
      <c r="K24" s="60"/>
      <c r="L24" s="60"/>
      <c r="M24" s="6"/>
      <c r="N24" s="58"/>
    </row>
    <row r="25" spans="2:14" ht="50.1" customHeight="1" x14ac:dyDescent="0.3">
      <c r="B25" s="54"/>
      <c r="C25" s="53"/>
      <c r="D25" s="38"/>
      <c r="E25" s="60"/>
      <c r="F25" s="55"/>
      <c r="G25" s="56"/>
      <c r="H25" s="57">
        <f t="shared" si="1"/>
        <v>0</v>
      </c>
      <c r="I25" s="60"/>
      <c r="J25" s="60"/>
      <c r="K25" s="60"/>
      <c r="L25" s="60"/>
      <c r="M25" s="6"/>
      <c r="N25" s="58"/>
    </row>
    <row r="26" spans="2:14" ht="50.1" customHeight="1" x14ac:dyDescent="0.3">
      <c r="B26" s="54"/>
      <c r="C26" s="53"/>
      <c r="D26" s="38"/>
      <c r="E26" s="60"/>
      <c r="F26" s="55"/>
      <c r="G26" s="56"/>
      <c r="H26" s="57">
        <f t="shared" si="1"/>
        <v>0</v>
      </c>
      <c r="I26" s="60"/>
      <c r="J26" s="60"/>
      <c r="K26" s="60"/>
      <c r="L26" s="60"/>
      <c r="M26" s="6"/>
      <c r="N26" s="58"/>
    </row>
    <row r="27" spans="2:14" ht="50.1" customHeight="1" x14ac:dyDescent="0.3">
      <c r="B27" s="54"/>
      <c r="C27" s="53"/>
      <c r="D27" s="38"/>
      <c r="E27" s="60"/>
      <c r="F27" s="55"/>
      <c r="G27" s="56"/>
      <c r="H27" s="57">
        <f t="shared" si="1"/>
        <v>0</v>
      </c>
      <c r="I27" s="60"/>
      <c r="J27" s="60"/>
      <c r="K27" s="60"/>
      <c r="L27" s="60"/>
      <c r="M27" s="6"/>
      <c r="N27" s="58"/>
    </row>
    <row r="28" spans="2:14" ht="50.1" customHeight="1" x14ac:dyDescent="0.3">
      <c r="B28" s="54"/>
      <c r="C28" s="53"/>
      <c r="D28" s="38"/>
      <c r="E28" s="60"/>
      <c r="F28" s="55"/>
      <c r="G28" s="56"/>
      <c r="H28" s="57">
        <f t="shared" si="1"/>
        <v>0</v>
      </c>
      <c r="I28" s="60"/>
      <c r="J28" s="60"/>
      <c r="K28" s="60"/>
      <c r="L28" s="60"/>
      <c r="M28" s="6"/>
      <c r="N28" s="58"/>
    </row>
    <row r="29" spans="2:14" ht="50.1" customHeight="1" x14ac:dyDescent="0.3">
      <c r="B29" s="54"/>
      <c r="C29" s="53"/>
      <c r="D29" s="38"/>
      <c r="E29" s="60"/>
      <c r="F29" s="55"/>
      <c r="G29" s="56"/>
      <c r="H29" s="57">
        <f t="shared" si="1"/>
        <v>0</v>
      </c>
      <c r="I29" s="60"/>
      <c r="J29" s="60"/>
      <c r="K29" s="60"/>
      <c r="L29" s="60"/>
      <c r="M29" s="6"/>
      <c r="N29" s="58"/>
    </row>
    <row r="30" spans="2:14" ht="50.1" customHeight="1" x14ac:dyDescent="0.3">
      <c r="B30" s="54"/>
      <c r="C30" s="53"/>
      <c r="D30" s="38"/>
      <c r="E30" s="60"/>
      <c r="F30" s="55"/>
      <c r="G30" s="56"/>
      <c r="H30" s="57">
        <f t="shared" si="1"/>
        <v>0</v>
      </c>
      <c r="I30" s="60"/>
      <c r="J30" s="60"/>
      <c r="K30" s="60"/>
      <c r="L30" s="60"/>
      <c r="M30" s="6"/>
      <c r="N30" s="58"/>
    </row>
    <row r="31" spans="2:14" ht="50.1" customHeight="1" x14ac:dyDescent="0.3">
      <c r="B31" s="54"/>
      <c r="C31" s="53"/>
      <c r="D31" s="38"/>
      <c r="E31" s="60"/>
      <c r="F31" s="55"/>
      <c r="G31" s="56"/>
      <c r="H31" s="57">
        <f t="shared" si="1"/>
        <v>0</v>
      </c>
      <c r="I31" s="60"/>
      <c r="J31" s="60"/>
      <c r="K31" s="60"/>
      <c r="L31" s="60"/>
      <c r="M31" s="6"/>
      <c r="N31" s="58"/>
    </row>
    <row r="32" spans="2:14" ht="50.1" customHeight="1" x14ac:dyDescent="0.3">
      <c r="B32" s="54"/>
      <c r="C32" s="53"/>
      <c r="D32" s="38"/>
      <c r="E32" s="60"/>
      <c r="F32" s="55"/>
      <c r="G32" s="56"/>
      <c r="H32" s="57">
        <f t="shared" ref="H32:H34" si="2">F32*G32</f>
        <v>0</v>
      </c>
      <c r="I32" s="60"/>
      <c r="J32" s="60"/>
      <c r="K32" s="60"/>
      <c r="L32" s="60"/>
      <c r="M32" s="6"/>
      <c r="N32" s="58"/>
    </row>
    <row r="33" spans="2:14" ht="50.1" customHeight="1" x14ac:dyDescent="0.3">
      <c r="B33" s="54"/>
      <c r="C33" s="53"/>
      <c r="D33" s="38"/>
      <c r="E33" s="60"/>
      <c r="F33" s="55"/>
      <c r="G33" s="56"/>
      <c r="H33" s="57">
        <f t="shared" si="2"/>
        <v>0</v>
      </c>
      <c r="I33" s="60"/>
      <c r="J33" s="60"/>
      <c r="K33" s="60"/>
      <c r="L33" s="60"/>
      <c r="M33" s="6"/>
      <c r="N33" s="58"/>
    </row>
    <row r="34" spans="2:14" ht="50.1" customHeight="1" x14ac:dyDescent="0.3">
      <c r="B34" s="54"/>
      <c r="C34" s="53"/>
      <c r="D34" s="38"/>
      <c r="E34" s="60"/>
      <c r="F34" s="55"/>
      <c r="G34" s="56"/>
      <c r="H34" s="57">
        <f t="shared" si="2"/>
        <v>0</v>
      </c>
      <c r="I34" s="60"/>
      <c r="J34" s="60"/>
      <c r="K34" s="60"/>
      <c r="L34" s="60"/>
      <c r="M34" s="6"/>
      <c r="N34" s="58"/>
    </row>
    <row r="35" spans="2:14" ht="18" customHeight="1" x14ac:dyDescent="0.3"/>
    <row r="36" spans="2:14" ht="15.9" customHeight="1" x14ac:dyDescent="0.3"/>
    <row r="37" spans="2:14" ht="15.9" customHeight="1" x14ac:dyDescent="0.3"/>
    <row r="38" spans="2:14" ht="15.9" customHeight="1" x14ac:dyDescent="0.3"/>
    <row r="39" spans="2:14" ht="15.9" customHeight="1" x14ac:dyDescent="0.3"/>
    <row r="40" spans="2:14" ht="15.9" customHeight="1" x14ac:dyDescent="0.3"/>
    <row r="41" spans="2:14" ht="15.9" customHeight="1" x14ac:dyDescent="0.3"/>
    <row r="42" spans="2:14" ht="15.9" customHeight="1" x14ac:dyDescent="0.3"/>
    <row r="43" spans="2:14" ht="15.9" customHeight="1" x14ac:dyDescent="0.3"/>
  </sheetData>
  <mergeCells count="1">
    <mergeCell ref="D3:E3"/>
  </mergeCells>
  <phoneticPr fontId="19" type="noConversion"/>
  <conditionalFormatting sqref="F5:F34">
    <cfRule type="containsText" dxfId="14" priority="1" operator="containsText" text="5">
      <formula>NOT(ISERROR(SEARCH("5",F5)))</formula>
    </cfRule>
    <cfRule type="containsText" dxfId="13" priority="2" operator="containsText" text="4">
      <formula>NOT(ISERROR(SEARCH("4",F5)))</formula>
    </cfRule>
    <cfRule type="containsText" dxfId="12" priority="3" operator="containsText" text="3">
      <formula>NOT(ISERROR(SEARCH("3",F5)))</formula>
    </cfRule>
    <cfRule type="containsText" dxfId="11" priority="4" operator="containsText" text="2">
      <formula>NOT(ISERROR(SEARCH("2",F5)))</formula>
    </cfRule>
    <cfRule type="containsText" dxfId="10" priority="5" operator="containsText" text="1">
      <formula>NOT(ISERROR(SEARCH("1",F5)))</formula>
    </cfRule>
  </conditionalFormatting>
  <conditionalFormatting sqref="G5:G34">
    <cfRule type="containsText" dxfId="9" priority="11" operator="containsText" text="16">
      <formula>NOT(ISERROR(SEARCH("16",G5)))</formula>
    </cfRule>
    <cfRule type="containsText" dxfId="8" priority="12" operator="containsText" text="8">
      <formula>NOT(ISERROR(SEARCH("8",G5)))</formula>
    </cfRule>
    <cfRule type="containsText" dxfId="7" priority="13" operator="containsText" text="4">
      <formula>NOT(ISERROR(SEARCH("4",G5)))</formula>
    </cfRule>
    <cfRule type="containsText" dxfId="6" priority="14" operator="containsText" text="2">
      <formula>NOT(ISERROR(SEARCH("2",G5)))</formula>
    </cfRule>
    <cfRule type="containsText" dxfId="5" priority="15" operator="containsText" text="1">
      <formula>NOT(ISERROR(SEARCH("1",G5)))</formula>
    </cfRule>
  </conditionalFormatting>
  <conditionalFormatting sqref="H5:H34">
    <cfRule type="cellIs" dxfId="4" priority="6" operator="between">
      <formula>40</formula>
      <formula>80</formula>
    </cfRule>
    <cfRule type="cellIs" dxfId="3" priority="7" operator="between">
      <formula>20</formula>
      <formula>32</formula>
    </cfRule>
    <cfRule type="cellIs" dxfId="2" priority="8" operator="between">
      <formula>10</formula>
      <formula>16</formula>
    </cfRule>
    <cfRule type="cellIs" dxfId="1" priority="9" operator="between">
      <formula>3</formula>
      <formula>8</formula>
    </cfRule>
    <cfRule type="cellIs" dxfId="0" priority="10" operator="between">
      <formula>1</formula>
      <formula>2</formula>
    </cfRule>
  </conditionalFormatting>
  <pageMargins left="0.3" right="0.3" top="0.3" bottom="0.3" header="0" footer="0"/>
  <pageSetup scale="33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C6CE682-3211-FD4F-940A-C17830527994}">
          <x14:formula1>
            <xm:f>'Dropdown Keys – DO NOT DELETE –'!$B$10:$B$14</xm:f>
          </x14:formula1>
          <xm:sqref>F5:F34</xm:sqref>
        </x14:dataValidation>
        <x14:dataValidation type="list" allowBlank="1" showInputMessage="1" showErrorMessage="1" xr:uid="{F6FA002F-1068-814B-B4FB-03F5370E33EE}">
          <x14:formula1>
            <xm:f>'Dropdown Keys – DO NOT DELETE –'!$C$10:$C$14</xm:f>
          </x14:formula1>
          <xm:sqref>G5:G34</xm:sqref>
        </x14:dataValidation>
        <x14:dataValidation type="list" allowBlank="1" showInputMessage="1" showErrorMessage="1" xr:uid="{B0984367-0A28-8F4C-8FBF-C2EFA16BE130}">
          <x14:formula1>
            <xm:f>'Dropdown Keys – DO NOT DELETE –'!$B$18:$B$27</xm:f>
          </x14:formula1>
          <xm:sqref>D13:D34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A10D-927C-AD49-AEB7-FCDBCBA7DEA4}">
  <sheetPr>
    <tabColor theme="2" tint="-0.249977111117893"/>
  </sheetPr>
  <dimension ref="A1:IX27"/>
  <sheetViews>
    <sheetView showGridLines="0" topLeftCell="A13" workbookViewId="0">
      <selection activeCell="B26" sqref="B26"/>
    </sheetView>
  </sheetViews>
  <sheetFormatPr defaultColWidth="11" defaultRowHeight="15.6" x14ac:dyDescent="0.3"/>
  <cols>
    <col min="1" max="1" width="3.3984375" customWidth="1"/>
    <col min="2" max="4" width="22.8984375" customWidth="1"/>
    <col min="5" max="5" width="3.3984375" customWidth="1"/>
    <col min="6" max="6" width="4" customWidth="1"/>
    <col min="7" max="7" width="3.3984375" customWidth="1"/>
    <col min="13" max="13" width="6.5" customWidth="1"/>
    <col min="14" max="14" width="19.8984375" customWidth="1"/>
    <col min="15" max="15" width="3.3984375" customWidth="1"/>
    <col min="16" max="16" width="19.8984375" customWidth="1"/>
    <col min="17" max="17" width="3.3984375" customWidth="1"/>
  </cols>
  <sheetData>
    <row r="1" spans="1:258" s="45" customFormat="1" ht="42" customHeight="1" thickBot="1" x14ac:dyDescent="0.35">
      <c r="A1" s="46"/>
      <c r="B1" s="47" t="s">
        <v>27</v>
      </c>
      <c r="C1"/>
      <c r="D1"/>
      <c r="E1"/>
      <c r="F1" s="46"/>
      <c r="G1"/>
      <c r="H1"/>
      <c r="I1"/>
      <c r="J1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46"/>
      <c r="IX1" s="46"/>
    </row>
    <row r="2" spans="1:258" ht="24.9" customHeight="1" x14ac:dyDescent="0.3">
      <c r="B2" s="44" t="s">
        <v>26</v>
      </c>
      <c r="C2" s="44" t="s">
        <v>25</v>
      </c>
      <c r="D2" s="44" t="s">
        <v>24</v>
      </c>
      <c r="E2" s="42"/>
      <c r="G2" s="7"/>
      <c r="H2" s="43">
        <v>1</v>
      </c>
      <c r="I2" s="43">
        <v>2</v>
      </c>
      <c r="J2" s="43">
        <v>3</v>
      </c>
      <c r="K2" s="43">
        <v>4</v>
      </c>
      <c r="L2" s="43">
        <v>5</v>
      </c>
      <c r="M2" s="42"/>
      <c r="O2" s="41"/>
    </row>
    <row r="3" spans="1:258" ht="24.9" customHeight="1" x14ac:dyDescent="0.3">
      <c r="B3" s="39" t="s">
        <v>21</v>
      </c>
      <c r="C3" s="38" t="s">
        <v>20</v>
      </c>
      <c r="D3" s="37" t="s">
        <v>19</v>
      </c>
      <c r="E3" s="2"/>
      <c r="G3" s="7">
        <v>1</v>
      </c>
      <c r="H3" s="31">
        <f>H2*$G$3</f>
        <v>1</v>
      </c>
      <c r="I3" s="31">
        <f>I2*$G$3</f>
        <v>2</v>
      </c>
      <c r="J3" s="20">
        <f>J2*$G$3</f>
        <v>3</v>
      </c>
      <c r="K3" s="20">
        <f>K2*$G$3</f>
        <v>4</v>
      </c>
      <c r="L3" s="20">
        <f>L2*$G$3</f>
        <v>5</v>
      </c>
      <c r="M3" s="2"/>
      <c r="O3" s="18"/>
    </row>
    <row r="4" spans="1:258" ht="24.9" customHeight="1" x14ac:dyDescent="0.3">
      <c r="B4" s="34" t="s">
        <v>18</v>
      </c>
      <c r="C4" s="33" t="s">
        <v>17</v>
      </c>
      <c r="D4" s="32" t="s">
        <v>16</v>
      </c>
      <c r="E4" s="2"/>
      <c r="G4" s="7">
        <v>2</v>
      </c>
      <c r="H4" s="31">
        <f>H2*$G$4</f>
        <v>2</v>
      </c>
      <c r="I4" s="20">
        <f>I2*$G$4</f>
        <v>4</v>
      </c>
      <c r="J4" s="20">
        <f>J2*$G$4</f>
        <v>6</v>
      </c>
      <c r="K4" s="20">
        <f>K2*$G$4</f>
        <v>8</v>
      </c>
      <c r="L4" s="13">
        <f>L2*$G$4</f>
        <v>10</v>
      </c>
      <c r="M4" s="2"/>
      <c r="O4" s="18"/>
    </row>
    <row r="5" spans="1:258" ht="24.9" customHeight="1" x14ac:dyDescent="0.3">
      <c r="B5" s="28" t="s">
        <v>15</v>
      </c>
      <c r="C5" s="27" t="s">
        <v>14</v>
      </c>
      <c r="D5" s="26" t="s">
        <v>13</v>
      </c>
      <c r="E5" s="2"/>
      <c r="G5" s="7">
        <v>4</v>
      </c>
      <c r="H5" s="20">
        <f>H2*$G$5</f>
        <v>4</v>
      </c>
      <c r="I5" s="20">
        <f>I2*$G$5</f>
        <v>8</v>
      </c>
      <c r="J5" s="13">
        <f>J2*$G$5</f>
        <v>12</v>
      </c>
      <c r="K5" s="13">
        <f>K2*$G$5</f>
        <v>16</v>
      </c>
      <c r="L5" s="12">
        <f>L2*$G$5</f>
        <v>20</v>
      </c>
      <c r="M5" s="2"/>
      <c r="O5" s="18"/>
    </row>
    <row r="6" spans="1:258" ht="24.9" customHeight="1" x14ac:dyDescent="0.3">
      <c r="B6" s="23" t="s">
        <v>12</v>
      </c>
      <c r="C6" s="22" t="s">
        <v>11</v>
      </c>
      <c r="D6" s="21" t="s">
        <v>10</v>
      </c>
      <c r="E6" s="2"/>
      <c r="G6" s="7">
        <v>8</v>
      </c>
      <c r="H6" s="20">
        <f>H2*$G$6</f>
        <v>8</v>
      </c>
      <c r="I6" s="13">
        <f>I2*$G$6</f>
        <v>16</v>
      </c>
      <c r="J6" s="12">
        <f>J2*$G$6</f>
        <v>24</v>
      </c>
      <c r="K6" s="12">
        <f>K2*$G$6</f>
        <v>32</v>
      </c>
      <c r="L6" s="11">
        <f>L2*$G$6</f>
        <v>40</v>
      </c>
      <c r="M6" s="2"/>
      <c r="O6" s="18"/>
    </row>
    <row r="7" spans="1:258" ht="24.9" customHeight="1" x14ac:dyDescent="0.3">
      <c r="B7" s="16" t="s">
        <v>9</v>
      </c>
      <c r="C7" s="15" t="s">
        <v>8</v>
      </c>
      <c r="D7" s="14" t="s">
        <v>7</v>
      </c>
      <c r="G7" s="7">
        <v>16</v>
      </c>
      <c r="H7" s="13">
        <f>H2*$G$7</f>
        <v>16</v>
      </c>
      <c r="I7" s="12">
        <f>I2*$G$7</f>
        <v>32</v>
      </c>
      <c r="J7" s="11">
        <f>J2*$G$7</f>
        <v>48</v>
      </c>
      <c r="K7" s="11">
        <f>K2*$G$7</f>
        <v>64</v>
      </c>
      <c r="L7" s="11">
        <f>L2*$G$7</f>
        <v>80</v>
      </c>
      <c r="O7" s="9"/>
    </row>
    <row r="8" spans="1:258" ht="16.2" thickBot="1" x14ac:dyDescent="0.35">
      <c r="G8" s="7"/>
      <c r="H8" s="7"/>
      <c r="I8" s="7"/>
      <c r="J8" s="7"/>
      <c r="K8" s="7"/>
      <c r="L8" s="7"/>
    </row>
    <row r="9" spans="1:258" ht="24.9" customHeight="1" x14ac:dyDescent="0.3">
      <c r="B9" s="40" t="s">
        <v>23</v>
      </c>
      <c r="C9" s="40" t="s">
        <v>22</v>
      </c>
    </row>
    <row r="10" spans="1:258" ht="24.9" customHeight="1" x14ac:dyDescent="0.3">
      <c r="B10" s="36">
        <v>1</v>
      </c>
      <c r="C10" s="35">
        <v>1</v>
      </c>
    </row>
    <row r="11" spans="1:258" ht="24.9" customHeight="1" x14ac:dyDescent="0.3">
      <c r="B11" s="30">
        <v>2</v>
      </c>
      <c r="C11" s="29">
        <v>2</v>
      </c>
    </row>
    <row r="12" spans="1:258" ht="24.9" customHeight="1" x14ac:dyDescent="0.3">
      <c r="B12" s="25">
        <v>3</v>
      </c>
      <c r="C12" s="24">
        <v>4</v>
      </c>
    </row>
    <row r="13" spans="1:258" ht="24.9" customHeight="1" x14ac:dyDescent="0.3">
      <c r="B13" s="19">
        <v>4</v>
      </c>
      <c r="C13" s="17">
        <v>8</v>
      </c>
    </row>
    <row r="14" spans="1:258" ht="24.9" customHeight="1" x14ac:dyDescent="0.3">
      <c r="B14" s="10">
        <v>5</v>
      </c>
      <c r="C14" s="8">
        <v>16</v>
      </c>
    </row>
    <row r="16" spans="1:258" ht="44.1" customHeight="1" thickBot="1" x14ac:dyDescent="0.35">
      <c r="B16" s="62" t="s">
        <v>36</v>
      </c>
    </row>
    <row r="17" spans="2:2" ht="24.9" customHeight="1" x14ac:dyDescent="0.3">
      <c r="B17" s="44" t="s">
        <v>1</v>
      </c>
    </row>
    <row r="18" spans="2:2" ht="24.9" customHeight="1" x14ac:dyDescent="0.3">
      <c r="B18" s="59" t="s">
        <v>52</v>
      </c>
    </row>
    <row r="19" spans="2:2" ht="24.9" customHeight="1" x14ac:dyDescent="0.3">
      <c r="B19" s="59" t="s">
        <v>53</v>
      </c>
    </row>
    <row r="20" spans="2:2" ht="24.9" customHeight="1" x14ac:dyDescent="0.3">
      <c r="B20" s="59" t="s">
        <v>54</v>
      </c>
    </row>
    <row r="21" spans="2:2" ht="24.9" customHeight="1" x14ac:dyDescent="0.3">
      <c r="B21" s="59" t="s">
        <v>55</v>
      </c>
    </row>
    <row r="22" spans="2:2" ht="24.9" customHeight="1" x14ac:dyDescent="0.3">
      <c r="B22" s="59" t="s">
        <v>56</v>
      </c>
    </row>
    <row r="23" spans="2:2" ht="24.9" customHeight="1" x14ac:dyDescent="0.3">
      <c r="B23" s="59" t="s">
        <v>57</v>
      </c>
    </row>
    <row r="24" spans="2:2" ht="24.9" customHeight="1" x14ac:dyDescent="0.3">
      <c r="B24" s="59" t="s">
        <v>58</v>
      </c>
    </row>
    <row r="25" spans="2:2" ht="24.9" customHeight="1" x14ac:dyDescent="0.3">
      <c r="B25" s="59" t="s">
        <v>59</v>
      </c>
    </row>
    <row r="26" spans="2:2" ht="24.9" customHeight="1" x14ac:dyDescent="0.3">
      <c r="B26" s="59" t="s">
        <v>34</v>
      </c>
    </row>
    <row r="27" spans="2:2" ht="24.9" customHeight="1" x14ac:dyDescent="0.3">
      <c r="B27" s="59" t="s">
        <v>35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Risk Register</vt:lpstr>
      <vt:lpstr>Dropdown Keys – DO NOT DELETE –</vt:lpstr>
      <vt:lpstr>'Risk Register'!Print_Area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nitin chauhan</cp:lastModifiedBy>
  <cp:lastPrinted>2022-09-25T20:48:00Z</cp:lastPrinted>
  <dcterms:created xsi:type="dcterms:W3CDTF">2016-05-31T16:01:17Z</dcterms:created>
  <dcterms:modified xsi:type="dcterms:W3CDTF">2026-05-20T13:28:41Z</dcterms:modified>
</cp:coreProperties>
</file>